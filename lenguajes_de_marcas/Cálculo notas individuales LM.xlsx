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VI\Documents\Javi\dam\lenguajes de marcas\"/>
    </mc:Choice>
  </mc:AlternateContent>
  <xr:revisionPtr revIDLastSave="0" documentId="13_ncr:1_{DB17D05F-F8BB-4D6B-8BF7-8213D685F2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lculo Calificacion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G19" i="1"/>
  <c r="G14" i="1"/>
  <c r="G6" i="1"/>
  <c r="G7" i="1"/>
  <c r="G8" i="1"/>
  <c r="G9" i="1"/>
  <c r="G10" i="1"/>
  <c r="G11" i="1"/>
  <c r="G12" i="1"/>
  <c r="G13" i="1"/>
  <c r="G15" i="1"/>
  <c r="G16" i="1"/>
  <c r="G17" i="1"/>
  <c r="G18" i="1"/>
  <c r="F4" i="1"/>
  <c r="G20" i="1" l="1"/>
  <c r="G21" i="1" s="1"/>
</calcChain>
</file>

<file path=xl/sharedStrings.xml><?xml version="1.0" encoding="utf-8"?>
<sst xmlns="http://schemas.openxmlformats.org/spreadsheetml/2006/main" count="26" uniqueCount="26">
  <si>
    <t>Examen</t>
  </si>
  <si>
    <t>Actividades</t>
  </si>
  <si>
    <t>Calificación</t>
  </si>
  <si>
    <t>RA</t>
  </si>
  <si>
    <t>Unidad</t>
  </si>
  <si>
    <t>Peso</t>
  </si>
  <si>
    <t>Rellena sólo las celdas que tienen fondo verde</t>
  </si>
  <si>
    <t>LENGUAJES DE MARCAS - CÁLCULO DE LA NOTA FINAL</t>
  </si>
  <si>
    <t>1. Introducción a los Lenguajes de marcas</t>
  </si>
  <si>
    <t>2. XML</t>
  </si>
  <si>
    <t>3. JSON</t>
  </si>
  <si>
    <t xml:space="preserve">4. HTML  </t>
  </si>
  <si>
    <t>5. CSS</t>
  </si>
  <si>
    <t>6. Javascript</t>
  </si>
  <si>
    <t>9. XSD</t>
  </si>
  <si>
    <t>7. Xpath</t>
  </si>
  <si>
    <t>8. XSLT</t>
  </si>
  <si>
    <t>10. XML y JSON en Bases de Datos Relacionales</t>
  </si>
  <si>
    <t>11. XML y JSON en Bases de Datos Nativas</t>
  </si>
  <si>
    <t>12. Xquery</t>
  </si>
  <si>
    <t>13. XJsonPath</t>
  </si>
  <si>
    <t>14. Sistemas empres. de gestión de información</t>
  </si>
  <si>
    <t>Dual/Proy/Trab</t>
  </si>
  <si>
    <t>Media 2ª Evaluación -&gt;</t>
  </si>
  <si>
    <t>Media Curso -&gt;</t>
  </si>
  <si>
    <t>% Evaluado hasta la 2ª 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</si>
</sst>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CC00CC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9" fontId="0" fillId="0" borderId="0" xfId="0" applyNumberFormat="1"/>
    <xf numFmtId="9" fontId="0" fillId="0" borderId="0" xfId="0" applyNumberFormat="1" applyAlignment="1">
      <alignment horizont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8" fillId="0" borderId="22" xfId="0" applyFont="1" applyBorder="1"/>
    <xf numFmtId="0" fontId="9" fillId="3" borderId="17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3" fillId="0" borderId="11" xfId="0" applyFont="1" applyBorder="1"/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9" fontId="9" fillId="3" borderId="11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3" fillId="0" borderId="12" xfId="0" applyFont="1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9" fontId="9" fillId="3" borderId="12" xfId="0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8" borderId="0" xfId="0" applyFill="1"/>
    <xf numFmtId="0" fontId="0" fillId="8" borderId="14" xfId="0" applyFill="1" applyBorder="1" applyAlignment="1"/>
    <xf numFmtId="0" fontId="1" fillId="8" borderId="16" xfId="0" applyFont="1" applyFill="1" applyBorder="1" applyAlignment="1">
      <alignment horizontal="right" indent="1"/>
    </xf>
    <xf numFmtId="0" fontId="0" fillId="8" borderId="0" xfId="0" applyFill="1" applyBorder="1" applyAlignment="1">
      <alignment horizontal="center"/>
    </xf>
    <xf numFmtId="0" fontId="1" fillId="8" borderId="0" xfId="0" applyFont="1" applyFill="1" applyBorder="1" applyAlignment="1">
      <alignment horizontal="right" indent="1"/>
    </xf>
    <xf numFmtId="0" fontId="2" fillId="8" borderId="0" xfId="0" applyFont="1" applyFill="1" applyBorder="1"/>
    <xf numFmtId="0" fontId="0" fillId="8" borderId="0" xfId="0" applyFill="1" applyBorder="1"/>
    <xf numFmtId="0" fontId="6" fillId="8" borderId="0" xfId="0" applyFont="1" applyFill="1" applyAlignment="1">
      <alignment horizontal="right" indent="1"/>
    </xf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3" fillId="0" borderId="29" xfId="0" applyFont="1" applyBorder="1"/>
    <xf numFmtId="0" fontId="3" fillId="4" borderId="3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9" fontId="9" fillId="3" borderId="29" xfId="0" applyNumberFormat="1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0" fillId="8" borderId="14" xfId="0" applyNumberFormat="1" applyFill="1" applyBorder="1" applyAlignment="1"/>
    <xf numFmtId="9" fontId="11" fillId="3" borderId="17" xfId="0" applyNumberFormat="1" applyFont="1" applyFill="1" applyBorder="1" applyAlignment="1">
      <alignment horizontal="center"/>
    </xf>
    <xf numFmtId="9" fontId="11" fillId="3" borderId="22" xfId="0" applyNumberFormat="1" applyFont="1" applyFill="1" applyBorder="1" applyAlignment="1">
      <alignment horizontal="center"/>
    </xf>
    <xf numFmtId="9" fontId="11" fillId="3" borderId="11" xfId="0" applyNumberFormat="1" applyFont="1" applyFill="1" applyBorder="1" applyAlignment="1">
      <alignment horizontal="center"/>
    </xf>
    <xf numFmtId="165" fontId="5" fillId="7" borderId="15" xfId="0" applyNumberFormat="1" applyFont="1" applyFill="1" applyBorder="1" applyAlignment="1">
      <alignment horizontal="center"/>
    </xf>
    <xf numFmtId="0" fontId="9" fillId="9" borderId="33" xfId="0" applyFont="1" applyFill="1" applyBorder="1" applyAlignment="1">
      <alignment horizontal="center"/>
    </xf>
    <xf numFmtId="9" fontId="9" fillId="9" borderId="34" xfId="0" applyNumberFormat="1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7" fillId="3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00FF"/>
      <color rgb="FF99FFCC"/>
      <color rgb="FFCC00CC"/>
      <color rgb="FF66FF99"/>
      <color rgb="FF66FFCC"/>
      <color rgb="FFEA6C6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abSelected="1" workbookViewId="0">
      <selection activeCell="D13" sqref="D13"/>
    </sheetView>
  </sheetViews>
  <sheetFormatPr baseColWidth="10" defaultColWidth="9.109375" defaultRowHeight="14.4" x14ac:dyDescent="0.3"/>
  <cols>
    <col min="1" max="1" width="12.5546875" customWidth="1"/>
    <col min="2" max="2" width="44.5546875" customWidth="1"/>
    <col min="3" max="5" width="17.33203125" customWidth="1"/>
    <col min="6" max="6" width="11.6640625" customWidth="1"/>
    <col min="7" max="7" width="15.44140625" customWidth="1"/>
    <col min="8" max="8" width="6.88671875" customWidth="1"/>
  </cols>
  <sheetData>
    <row r="1" spans="1:8" ht="15.6" x14ac:dyDescent="0.3">
      <c r="A1" s="61" t="s">
        <v>7</v>
      </c>
      <c r="B1" s="61"/>
      <c r="C1" s="61"/>
      <c r="D1" s="61"/>
      <c r="E1" s="61"/>
      <c r="F1" s="61"/>
      <c r="G1" s="61"/>
      <c r="H1" s="30"/>
    </row>
    <row r="2" spans="1:8" x14ac:dyDescent="0.3">
      <c r="A2" s="30"/>
      <c r="B2" s="30"/>
      <c r="C2" s="30"/>
      <c r="D2" s="30"/>
      <c r="E2" s="30"/>
      <c r="F2" s="30"/>
      <c r="G2" s="30"/>
      <c r="H2" s="30"/>
    </row>
    <row r="3" spans="1:8" ht="15.6" x14ac:dyDescent="0.3">
      <c r="A3" s="62" t="s">
        <v>6</v>
      </c>
      <c r="B3" s="62"/>
      <c r="C3" s="62"/>
      <c r="D3" s="62"/>
      <c r="E3" s="62"/>
      <c r="F3" s="62"/>
      <c r="G3" s="62"/>
      <c r="H3" s="30"/>
    </row>
    <row r="4" spans="1:8" ht="15" thickBot="1" x14ac:dyDescent="0.35">
      <c r="A4" s="30"/>
      <c r="B4" s="30"/>
      <c r="C4" s="31"/>
      <c r="D4" s="31"/>
      <c r="E4" s="31"/>
      <c r="F4" s="51">
        <f>SUM(F6:F19)</f>
        <v>1.0000000000000002</v>
      </c>
      <c r="G4" s="30"/>
      <c r="H4" s="30"/>
    </row>
    <row r="5" spans="1:8" ht="15" thickBot="1" x14ac:dyDescent="0.35">
      <c r="A5" s="8" t="s">
        <v>3</v>
      </c>
      <c r="B5" s="9" t="s">
        <v>4</v>
      </c>
      <c r="C5" s="3" t="s">
        <v>0</v>
      </c>
      <c r="D5" s="4" t="s">
        <v>1</v>
      </c>
      <c r="E5" s="5" t="s">
        <v>22</v>
      </c>
      <c r="F5" s="7" t="s">
        <v>5</v>
      </c>
      <c r="G5" s="6" t="s">
        <v>2</v>
      </c>
      <c r="H5" s="30"/>
    </row>
    <row r="6" spans="1:8" ht="15.6" x14ac:dyDescent="0.3">
      <c r="A6" s="63">
        <v>1</v>
      </c>
      <c r="B6" s="10" t="s">
        <v>8</v>
      </c>
      <c r="C6" s="49"/>
      <c r="D6" s="50"/>
      <c r="E6" s="48">
        <v>7</v>
      </c>
      <c r="F6" s="52">
        <v>0.03</v>
      </c>
      <c r="G6" s="11">
        <f>E6</f>
        <v>7</v>
      </c>
      <c r="H6" s="30"/>
    </row>
    <row r="7" spans="1:8" ht="15.6" x14ac:dyDescent="0.3">
      <c r="A7" s="59"/>
      <c r="B7" s="10" t="s">
        <v>9</v>
      </c>
      <c r="C7" s="38">
        <v>8</v>
      </c>
      <c r="D7" s="39">
        <v>9</v>
      </c>
      <c r="E7" s="40"/>
      <c r="F7" s="53">
        <v>0.1</v>
      </c>
      <c r="G7" s="41">
        <f t="shared" ref="G7:G18" si="0">(C7*80+D7*20)/100</f>
        <v>8.1999999999999993</v>
      </c>
      <c r="H7" s="30"/>
    </row>
    <row r="8" spans="1:8" ht="15.6" x14ac:dyDescent="0.3">
      <c r="A8" s="60"/>
      <c r="B8" s="10" t="s">
        <v>10</v>
      </c>
      <c r="C8" s="38">
        <v>7</v>
      </c>
      <c r="D8" s="39">
        <v>9</v>
      </c>
      <c r="E8" s="40"/>
      <c r="F8" s="53">
        <v>0.05</v>
      </c>
      <c r="G8" s="41">
        <f t="shared" si="0"/>
        <v>7.4</v>
      </c>
      <c r="H8" s="30"/>
    </row>
    <row r="9" spans="1:8" ht="15.75" customHeight="1" x14ac:dyDescent="0.3">
      <c r="A9" s="58">
        <v>2</v>
      </c>
      <c r="B9" s="13" t="s">
        <v>11</v>
      </c>
      <c r="C9" s="20">
        <v>4.55</v>
      </c>
      <c r="D9" s="21">
        <v>6</v>
      </c>
      <c r="E9" s="19"/>
      <c r="F9" s="54">
        <v>0.15</v>
      </c>
      <c r="G9" s="18">
        <f t="shared" si="0"/>
        <v>4.84</v>
      </c>
      <c r="H9" s="30"/>
    </row>
    <row r="10" spans="1:8" ht="15.75" customHeight="1" x14ac:dyDescent="0.3">
      <c r="A10" s="60"/>
      <c r="B10" s="13" t="s">
        <v>12</v>
      </c>
      <c r="C10" s="20">
        <v>2.5</v>
      </c>
      <c r="D10" s="21">
        <v>6</v>
      </c>
      <c r="E10" s="19"/>
      <c r="F10" s="54">
        <v>0.15</v>
      </c>
      <c r="G10" s="18">
        <f t="shared" si="0"/>
        <v>3.2</v>
      </c>
      <c r="H10" s="30"/>
    </row>
    <row r="11" spans="1:8" ht="15.6" x14ac:dyDescent="0.3">
      <c r="A11" s="12">
        <v>3</v>
      </c>
      <c r="B11" s="13" t="s">
        <v>13</v>
      </c>
      <c r="C11" s="20">
        <v>2.5</v>
      </c>
      <c r="D11" s="21">
        <v>8.6999999999999993</v>
      </c>
      <c r="E11" s="19"/>
      <c r="F11" s="17">
        <v>0.13</v>
      </c>
      <c r="G11" s="18">
        <f t="shared" si="0"/>
        <v>3.74</v>
      </c>
      <c r="H11" s="30"/>
    </row>
    <row r="12" spans="1:8" ht="15.6" x14ac:dyDescent="0.3">
      <c r="A12" s="12">
        <v>4</v>
      </c>
      <c r="B12" s="13" t="s">
        <v>14</v>
      </c>
      <c r="C12" s="20">
        <v>9</v>
      </c>
      <c r="D12" s="21">
        <v>4.5</v>
      </c>
      <c r="E12" s="19"/>
      <c r="F12" s="17">
        <v>0.1</v>
      </c>
      <c r="G12" s="18">
        <f t="shared" si="0"/>
        <v>8.1</v>
      </c>
      <c r="H12" s="30"/>
    </row>
    <row r="13" spans="1:8" ht="15.75" customHeight="1" x14ac:dyDescent="0.3">
      <c r="A13" s="58">
        <v>5</v>
      </c>
      <c r="B13" s="13" t="s">
        <v>15</v>
      </c>
      <c r="C13" s="20">
        <v>7</v>
      </c>
      <c r="D13" s="21">
        <v>10</v>
      </c>
      <c r="E13" s="19"/>
      <c r="F13" s="17">
        <v>0.06</v>
      </c>
      <c r="G13" s="18">
        <f t="shared" si="0"/>
        <v>7.6</v>
      </c>
      <c r="H13" s="30"/>
    </row>
    <row r="14" spans="1:8" ht="15.75" customHeight="1" x14ac:dyDescent="0.3">
      <c r="A14" s="60"/>
      <c r="B14" s="13" t="s">
        <v>16</v>
      </c>
      <c r="C14" s="14"/>
      <c r="D14" s="15"/>
      <c r="E14" s="16">
        <v>6.6</v>
      </c>
      <c r="F14" s="54">
        <v>0.06</v>
      </c>
      <c r="G14" s="18">
        <f>E14</f>
        <v>6.6</v>
      </c>
      <c r="H14" s="30"/>
    </row>
    <row r="15" spans="1:8" ht="15.75" customHeight="1" x14ac:dyDescent="0.3">
      <c r="A15" s="58">
        <v>6</v>
      </c>
      <c r="B15" s="13" t="s">
        <v>17</v>
      </c>
      <c r="C15" s="20"/>
      <c r="D15" s="21"/>
      <c r="E15" s="19"/>
      <c r="F15" s="17">
        <v>0.04</v>
      </c>
      <c r="G15" s="18">
        <f t="shared" si="0"/>
        <v>0</v>
      </c>
      <c r="H15" s="30"/>
    </row>
    <row r="16" spans="1:8" ht="15.75" customHeight="1" x14ac:dyDescent="0.3">
      <c r="A16" s="59"/>
      <c r="B16" s="42" t="s">
        <v>18</v>
      </c>
      <c r="C16" s="43"/>
      <c r="D16" s="44"/>
      <c r="E16" s="45"/>
      <c r="F16" s="46">
        <v>0.04</v>
      </c>
      <c r="G16" s="47">
        <f t="shared" si="0"/>
        <v>0</v>
      </c>
      <c r="H16" s="30"/>
    </row>
    <row r="17" spans="1:12" ht="15.75" customHeight="1" x14ac:dyDescent="0.3">
      <c r="A17" s="59"/>
      <c r="B17" s="42" t="s">
        <v>19</v>
      </c>
      <c r="C17" s="43"/>
      <c r="D17" s="44"/>
      <c r="E17" s="45"/>
      <c r="F17" s="46">
        <v>0.04</v>
      </c>
      <c r="G17" s="47">
        <f t="shared" si="0"/>
        <v>0</v>
      </c>
      <c r="H17" s="30"/>
    </row>
    <row r="18" spans="1:12" ht="15.75" customHeight="1" x14ac:dyDescent="0.3">
      <c r="A18" s="60"/>
      <c r="B18" s="42" t="s">
        <v>20</v>
      </c>
      <c r="C18" s="43"/>
      <c r="D18" s="44"/>
      <c r="E18" s="45"/>
      <c r="F18" s="46">
        <v>0.04</v>
      </c>
      <c r="G18" s="47">
        <f t="shared" si="0"/>
        <v>0</v>
      </c>
      <c r="H18" s="30"/>
    </row>
    <row r="19" spans="1:12" ht="16.2" thickBot="1" x14ac:dyDescent="0.35">
      <c r="A19" s="22">
        <v>7</v>
      </c>
      <c r="B19" s="23" t="s">
        <v>21</v>
      </c>
      <c r="C19" s="24"/>
      <c r="D19" s="25"/>
      <c r="E19" s="26"/>
      <c r="F19" s="27">
        <v>0.01</v>
      </c>
      <c r="G19" s="28">
        <f>E19</f>
        <v>0</v>
      </c>
      <c r="H19" s="30"/>
    </row>
    <row r="20" spans="1:12" ht="15" thickBot="1" x14ac:dyDescent="0.35">
      <c r="A20" s="30"/>
      <c r="B20" s="32"/>
      <c r="C20" s="33"/>
      <c r="D20" s="33"/>
      <c r="E20" s="30"/>
      <c r="F20" s="34" t="s">
        <v>24</v>
      </c>
      <c r="G20" s="29">
        <f>SUMPRODUCT(F6:F19,G6:G19)</f>
        <v>4.7542</v>
      </c>
      <c r="H20" s="30"/>
      <c r="J20" s="2"/>
      <c r="K20" s="1"/>
      <c r="L20" s="1"/>
    </row>
    <row r="21" spans="1:12" ht="18.600000000000001" thickBot="1" x14ac:dyDescent="0.4">
      <c r="A21" s="35"/>
      <c r="B21" s="56" t="s">
        <v>25</v>
      </c>
      <c r="C21" s="57">
        <f>F6+F7+F8+F9+F10+F14</f>
        <v>0.54</v>
      </c>
      <c r="D21" s="36"/>
      <c r="E21" s="30"/>
      <c r="F21" s="37" t="s">
        <v>23</v>
      </c>
      <c r="G21" s="55">
        <f>G20/C21</f>
        <v>8.8040740740740731</v>
      </c>
      <c r="H21" s="30"/>
    </row>
    <row r="22" spans="1:12" x14ac:dyDescent="0.3">
      <c r="C22" s="30"/>
      <c r="D22" s="30"/>
      <c r="E22" s="30"/>
      <c r="F22" s="30"/>
      <c r="G22" s="30"/>
      <c r="H22" s="30"/>
    </row>
  </sheetData>
  <mergeCells count="6">
    <mergeCell ref="A15:A18"/>
    <mergeCell ref="A1:G1"/>
    <mergeCell ref="A3:G3"/>
    <mergeCell ref="A6:A8"/>
    <mergeCell ref="A9:A10"/>
    <mergeCell ref="A13:A1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 Calificaciones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javier lopez</cp:lastModifiedBy>
  <dcterms:created xsi:type="dcterms:W3CDTF">2015-06-05T18:19:34Z</dcterms:created>
  <dcterms:modified xsi:type="dcterms:W3CDTF">2025-05-25T19:54:35Z</dcterms:modified>
</cp:coreProperties>
</file>